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Work Items" sheetId="2" state="visible" r:id="rId2"/>
    <sheet xmlns:r="http://schemas.openxmlformats.org/officeDocument/2006/relationships" name="Golden Set" sheetId="3" state="visible" r:id="rId3"/>
    <sheet xmlns:r="http://schemas.openxmlformats.org/officeDocument/2006/relationships" name="Runs" sheetId="4" state="visible" r:id="rId4"/>
    <sheet xmlns:r="http://schemas.openxmlformats.org/officeDocument/2006/relationships" name="Phases &amp; Milestones" sheetId="5" state="visible" r:id="rId5"/>
    <sheet xmlns:r="http://schemas.openxmlformats.org/officeDocument/2006/relationships" name="Metrics" sheetId="6" state="visible" r:id="rId6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6"/>
    </font>
    <font>
      <b val="1"/>
      <color rgb="00FFFFFF"/>
      <sz val="18"/>
    </font>
    <font>
      <b val="1"/>
      <color rgb="00111827"/>
    </font>
    <font>
      <b val="1"/>
      <color rgb="00FFFFFF"/>
    </font>
    <font>
      <b val="1"/>
      <color rgb="00111827"/>
      <sz val="20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2563EB"/>
      </patternFill>
    </fill>
    <fill>
      <patternFill patternType="solid">
        <fgColor rgb="00F3F4F6"/>
      </patternFill>
    </fill>
  </fills>
  <borders count="11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 style="thin">
        <color rgb="00D0D0D0"/>
      </left>
      <right/>
      <top/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 style="thin">
        <color rgb="00D0D0D0"/>
      </right>
      <top/>
      <bottom/>
      <diagonal/>
    </border>
    <border>
      <left style="thin">
        <color rgb="00D0D0D0"/>
      </left>
      <right/>
      <top/>
      <bottom style="thin">
        <color rgb="00D0D0D0"/>
      </bottom>
      <diagonal/>
    </border>
    <border>
      <left/>
      <right/>
      <top/>
      <bottom style="thin">
        <color rgb="00D0D0D0"/>
      </bottom>
      <diagonal/>
    </border>
    <border>
      <left/>
      <right style="thin">
        <color rgb="00D0D0D0"/>
      </right>
      <top/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  <border>
      <left/>
      <right/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0" borderId="10" pivotButton="0" quotePrefix="0" xfId="0"/>
    <xf numFmtId="0" fontId="0" fillId="0" borderId="9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/>
  </cellStyles>
  <dxfs count="4">
    <dxf>
      <fill>
        <patternFill>
          <bgColor rgb="00DCFCE7"/>
        </patternFill>
      </fill>
    </dxf>
    <dxf>
      <fill>
        <patternFill>
          <bgColor rgb="00FEE2E2"/>
        </patternFill>
      </fill>
    </dxf>
    <dxf>
      <fill>
        <patternFill>
          <bgColor rgb="00FEF3C7"/>
        </patternFill>
      </fill>
    </dxf>
    <dxf>
      <fill>
        <patternFill>
          <bgColor rgb="00DBEAF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Work Items by Status</a:t>
            </a:r>
          </a:p>
        </rich>
      </tx>
      <overlay val="0"/>
      <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</a:p>
      </txPr>
    </title>
    <plotArea>
      <layout/>
      <barChart>
        <barDir val="col"/>
        <grouping val="clustered"/>
        <ser>
          <idx val="0"/>
          <order val="0"/>
          <tx>
            <strRef>
              <f>'Dashboard'!B21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'Dashboard'!$A$22:$A$25</f>
              <strCache>
                <ptCount val="0"/>
              </strCache>
            </strRef>
          </cat>
          <val>
            <numRef>
              <f>'Dashboard'!$B$22:$B$25</f>
              <numCach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numFmt formatCode="" sourceLinked="0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3</col>
      <colOff>0</colOff>
      <row>20</row>
      <rowOff>0</rowOff>
    </from>
    <to>
      <col>2</col>
      <colOff>0</colOff>
      <row>10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WorkItems" displayName="WorkItems" ref="A1:O6" headerRowCount="1">
  <autoFilter ref="A1:O6"/>
  <tableColumns count="15">
    <tableColumn id="1" name="ID"/>
    <tableColumn id="2" name="Phase"/>
    <tableColumn id="3" name="Area"/>
    <tableColumn id="4" name="Title"/>
    <tableColumn id="5" name="Description"/>
    <tableColumn id="6" name="Priority"/>
    <tableColumn id="7" name="Status"/>
    <tableColumn id="8" name="Owner"/>
    <tableColumn id="9" name="Created"/>
    <tableColumn id="10" name="Target Date"/>
    <tableColumn id="11" name="Effort"/>
    <tableColumn id="12" name="Dependencies"/>
    <tableColumn id="13" name="Acceptance Criteria"/>
    <tableColumn id="14" name="Notes"/>
    <tableColumn id="15" name="Links"/>
  </tableColumns>
  <tableStyleInfo name="TableStyleMedium9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2" customWidth="1" min="4" max="4"/>
    <col width="9" customWidth="1" min="5" max="5"/>
    <col width="9" customWidth="1" min="6" max="6"/>
    <col width="18" customWidth="1" min="7" max="7"/>
    <col width="22" customWidth="1" min="8" max="8"/>
  </cols>
  <sheetData>
    <row r="1" ht="34" customHeight="1">
      <c r="A1" s="1" t="inlineStr">
        <is>
          <t>Resume Intelligence — Product Dashboard</t>
        </is>
      </c>
      <c r="B1" s="14" t="n"/>
      <c r="C1" s="14" t="n"/>
      <c r="D1" s="14" t="n"/>
      <c r="E1" s="14" t="n"/>
      <c r="F1" s="14" t="n"/>
      <c r="G1" s="14" t="n"/>
      <c r="H1" s="15" t="n"/>
    </row>
    <row r="2" ht="18" customHeight="1">
      <c r="A2" s="3" t="inlineStr">
        <is>
          <t>Quick links: Work Items | Golden Set | Runs | Phases &amp; Milestones | Metrics</t>
        </is>
      </c>
    </row>
    <row r="4">
      <c r="A4" s="4" t="inlineStr">
        <is>
          <t>Total work items</t>
        </is>
      </c>
      <c r="B4" s="14" t="n"/>
      <c r="C4" s="15" t="n"/>
      <c r="D4" s="4" t="inlineStr">
        <is>
          <t>Done</t>
        </is>
      </c>
      <c r="E4" s="14" t="n"/>
      <c r="F4" s="15" t="n"/>
      <c r="G4" s="4" t="inlineStr">
        <is>
          <t>Completion %</t>
        </is>
      </c>
      <c r="H4" s="15" t="n"/>
    </row>
    <row r="5">
      <c r="A5" s="6">
        <f>COUNTA('Work Items'!A2:A500)</f>
        <v/>
      </c>
      <c r="B5" s="14" t="n"/>
      <c r="C5" s="15" t="n"/>
      <c r="D5" s="6">
        <f>COUNTIF('Work Items'!G2:G500,"Done")</f>
        <v/>
      </c>
      <c r="E5" s="14" t="n"/>
      <c r="F5" s="15" t="n"/>
      <c r="G5" s="7">
        <f>IFERROR(COUNTIF('Work Items'!G2:G500,"Done")/MAX(1,COUNTA('Work Items'!A2:A500)),0)</f>
        <v/>
      </c>
      <c r="H5" s="15" t="n"/>
    </row>
    <row r="7">
      <c r="A7" s="4" t="inlineStr">
        <is>
          <t>In Progress</t>
        </is>
      </c>
      <c r="B7" s="14" t="n"/>
      <c r="C7" s="15" t="n"/>
      <c r="D7" s="4" t="inlineStr">
        <is>
          <t>Blocked</t>
        </is>
      </c>
      <c r="E7" s="14" t="n"/>
      <c r="F7" s="15" t="n"/>
    </row>
    <row r="8">
      <c r="A8" s="6">
        <f>COUNTIF('Work Items'!G2:G500,"In Progress")</f>
        <v/>
      </c>
      <c r="B8" s="14" t="n"/>
      <c r="C8" s="15" t="n"/>
      <c r="D8" s="6">
        <f>COUNTIF('Work Items'!G2:G500,"Blocked")</f>
        <v/>
      </c>
      <c r="E8" s="14" t="n"/>
      <c r="F8" s="15" t="n"/>
    </row>
    <row r="10" ht="22" customHeight="1">
      <c r="A10" s="8" t="inlineStr">
        <is>
          <t>Work items by Area</t>
        </is>
      </c>
      <c r="B10" s="14" t="n"/>
      <c r="C10" s="14" t="n"/>
      <c r="D10" s="14" t="n"/>
      <c r="E10" s="14" t="n"/>
      <c r="F10" s="14" t="n"/>
      <c r="G10" s="14" t="n"/>
      <c r="H10" s="15" t="n"/>
    </row>
    <row r="11" ht="18" customHeight="1">
      <c r="A11" s="9" t="inlineStr">
        <is>
          <t>Area</t>
        </is>
      </c>
      <c r="B11" s="9" t="inlineStr">
        <is>
          <t>Total</t>
        </is>
      </c>
      <c r="C11" s="9" t="inlineStr">
        <is>
          <t>Done</t>
        </is>
      </c>
      <c r="D11" s="9" t="inlineStr">
        <is>
          <t>In Progress</t>
        </is>
      </c>
      <c r="E11" s="9" t="inlineStr">
        <is>
          <t>Blocked</t>
        </is>
      </c>
      <c r="F11" s="9" t="inlineStr">
        <is>
          <t>P0 Count</t>
        </is>
      </c>
      <c r="G11" s="9" t="inlineStr">
        <is>
          <t>Next focus</t>
        </is>
      </c>
      <c r="H11" s="9" t="inlineStr">
        <is>
          <t>Notes</t>
        </is>
      </c>
    </row>
    <row r="12">
      <c r="A12" s="10" t="inlineStr">
        <is>
          <t>Extraction QA</t>
        </is>
      </c>
      <c r="B12" s="10">
        <f>COUNTIF('Work Items'!C2:C500,"Extraction QA")</f>
        <v/>
      </c>
      <c r="C12" s="10">
        <f>COUNTIFS('Work Items'!C2:C500,"Extraction QA",'Work Items'!G2:G500,"Done")</f>
        <v/>
      </c>
      <c r="D12" s="10">
        <f>COUNTIFS('Work Items'!C2:C500,"Extraction QA",'Work Items'!G2:G500,"In Progress")</f>
        <v/>
      </c>
      <c r="E12" s="10">
        <f>COUNTIFS('Work Items'!C2:C500,"Extraction QA",'Work Items'!G2:G500,"Blocked")</f>
        <v/>
      </c>
      <c r="F12" s="10">
        <f>COUNTIFS('Work Items'!C2:C500,"Extraction QA",'Work Items'!F2:F500,"P0")</f>
        <v/>
      </c>
      <c r="G12" s="10" t="inlineStr"/>
      <c r="H12" s="10" t="inlineStr"/>
    </row>
    <row r="13">
      <c r="A13" s="10" t="inlineStr">
        <is>
          <t>UI / UX</t>
        </is>
      </c>
      <c r="B13" s="10">
        <f>COUNTIF('Work Items'!C2:C500,"UI / UX")</f>
        <v/>
      </c>
      <c r="C13" s="10">
        <f>COUNTIFS('Work Items'!C2:C500,"UI / UX",'Work Items'!G2:G500,"Done")</f>
        <v/>
      </c>
      <c r="D13" s="10">
        <f>COUNTIFS('Work Items'!C2:C500,"UI / UX",'Work Items'!G2:G500,"In Progress")</f>
        <v/>
      </c>
      <c r="E13" s="10">
        <f>COUNTIFS('Work Items'!C2:C500,"UI / UX",'Work Items'!G2:G500,"Blocked")</f>
        <v/>
      </c>
      <c r="F13" s="10">
        <f>COUNTIFS('Work Items'!C2:C500,"UI / UX",'Work Items'!F2:F500,"P0")</f>
        <v/>
      </c>
      <c r="G13" s="10" t="inlineStr"/>
      <c r="H13" s="10" t="inlineStr"/>
    </row>
    <row r="14">
      <c r="A14" s="10" t="inlineStr">
        <is>
          <t>Explainability</t>
        </is>
      </c>
      <c r="B14" s="10">
        <f>COUNTIF('Work Items'!C2:C500,"Explainability")</f>
        <v/>
      </c>
      <c r="C14" s="10">
        <f>COUNTIFS('Work Items'!C2:C500,"Explainability",'Work Items'!G2:G500,"Done")</f>
        <v/>
      </c>
      <c r="D14" s="10">
        <f>COUNTIFS('Work Items'!C2:C500,"Explainability",'Work Items'!G2:G500,"In Progress")</f>
        <v/>
      </c>
      <c r="E14" s="10">
        <f>COUNTIFS('Work Items'!C2:C500,"Explainability",'Work Items'!G2:G500,"Blocked")</f>
        <v/>
      </c>
      <c r="F14" s="10">
        <f>COUNTIFS('Work Items'!C2:C500,"Explainability",'Work Items'!F2:F500,"P0")</f>
        <v/>
      </c>
      <c r="G14" s="10" t="inlineStr"/>
      <c r="H14" s="10" t="inlineStr"/>
    </row>
    <row r="15">
      <c r="A15" s="10" t="inlineStr">
        <is>
          <t>Backend</t>
        </is>
      </c>
      <c r="B15" s="10">
        <f>COUNTIF('Work Items'!C2:C500,"Backend")</f>
        <v/>
      </c>
      <c r="C15" s="10">
        <f>COUNTIFS('Work Items'!C2:C500,"Backend",'Work Items'!G2:G500,"Done")</f>
        <v/>
      </c>
      <c r="D15" s="10">
        <f>COUNTIFS('Work Items'!C2:C500,"Backend",'Work Items'!G2:G500,"In Progress")</f>
        <v/>
      </c>
      <c r="E15" s="10">
        <f>COUNTIFS('Work Items'!C2:C500,"Backend",'Work Items'!G2:G500,"Blocked")</f>
        <v/>
      </c>
      <c r="F15" s="10">
        <f>COUNTIFS('Work Items'!C2:C500,"Backend",'Work Items'!F2:F500,"P0")</f>
        <v/>
      </c>
      <c r="G15" s="10" t="inlineStr"/>
      <c r="H15" s="10" t="inlineStr"/>
    </row>
    <row r="16">
      <c r="A16" s="10" t="inlineStr">
        <is>
          <t>Prompts</t>
        </is>
      </c>
      <c r="B16" s="10">
        <f>COUNTIF('Work Items'!C2:C500,"Prompts")</f>
        <v/>
      </c>
      <c r="C16" s="10">
        <f>COUNTIFS('Work Items'!C2:C500,"Prompts",'Work Items'!G2:G500,"Done")</f>
        <v/>
      </c>
      <c r="D16" s="10">
        <f>COUNTIFS('Work Items'!C2:C500,"Prompts",'Work Items'!G2:G500,"In Progress")</f>
        <v/>
      </c>
      <c r="E16" s="10">
        <f>COUNTIFS('Work Items'!C2:C500,"Prompts",'Work Items'!G2:G500,"Blocked")</f>
        <v/>
      </c>
      <c r="F16" s="10">
        <f>COUNTIFS('Work Items'!C2:C500,"Prompts",'Work Items'!F2:F500,"P0")</f>
        <v/>
      </c>
      <c r="G16" s="10" t="inlineStr"/>
      <c r="H16" s="10" t="inlineStr"/>
    </row>
    <row r="17">
      <c r="A17" s="10" t="inlineStr">
        <is>
          <t>Packaging</t>
        </is>
      </c>
      <c r="B17" s="10">
        <f>COUNTIF('Work Items'!C2:C500,"Packaging")</f>
        <v/>
      </c>
      <c r="C17" s="10">
        <f>COUNTIFS('Work Items'!C2:C500,"Packaging",'Work Items'!G2:G500,"Done")</f>
        <v/>
      </c>
      <c r="D17" s="10">
        <f>COUNTIFS('Work Items'!C2:C500,"Packaging",'Work Items'!G2:G500,"In Progress")</f>
        <v/>
      </c>
      <c r="E17" s="10">
        <f>COUNTIFS('Work Items'!C2:C500,"Packaging",'Work Items'!G2:G500,"Blocked")</f>
        <v/>
      </c>
      <c r="F17" s="10">
        <f>COUNTIFS('Work Items'!C2:C500,"Packaging",'Work Items'!F2:F500,"P0")</f>
        <v/>
      </c>
      <c r="G17" s="10" t="inlineStr"/>
      <c r="H17" s="10" t="inlineStr"/>
    </row>
    <row r="18">
      <c r="A18" s="10" t="inlineStr">
        <is>
          <t>Metrics</t>
        </is>
      </c>
      <c r="B18" s="10">
        <f>COUNTIF('Work Items'!C2:C500,"Metrics")</f>
        <v/>
      </c>
      <c r="C18" s="10">
        <f>COUNTIFS('Work Items'!C2:C500,"Metrics",'Work Items'!G2:G500,"Done")</f>
        <v/>
      </c>
      <c r="D18" s="10">
        <f>COUNTIFS('Work Items'!C2:C500,"Metrics",'Work Items'!G2:G500,"In Progress")</f>
        <v/>
      </c>
      <c r="E18" s="10">
        <f>COUNTIFS('Work Items'!C2:C500,"Metrics",'Work Items'!G2:G500,"Blocked")</f>
        <v/>
      </c>
      <c r="F18" s="10">
        <f>COUNTIFS('Work Items'!C2:C500,"Metrics",'Work Items'!F2:F500,"P0")</f>
        <v/>
      </c>
      <c r="G18" s="10" t="inlineStr"/>
      <c r="H18" s="10" t="inlineStr"/>
    </row>
    <row r="20">
      <c r="A20" s="8" t="inlineStr">
        <is>
          <t>Status counts</t>
        </is>
      </c>
      <c r="B20" s="14" t="n"/>
      <c r="C20" s="14" t="n"/>
      <c r="D20" s="15" t="n"/>
    </row>
    <row r="21">
      <c r="A21" s="9" t="inlineStr">
        <is>
          <t>Status</t>
        </is>
      </c>
      <c r="B21" s="9" t="inlineStr">
        <is>
          <t>Count</t>
        </is>
      </c>
    </row>
    <row r="22">
      <c r="A22" s="5" t="inlineStr">
        <is>
          <t>Not Started</t>
        </is>
      </c>
      <c r="B22" s="5">
        <f>COUNTIF('Work Items'!G2:G500,"Not Started")</f>
        <v/>
      </c>
    </row>
    <row r="23">
      <c r="A23" s="5" t="inlineStr">
        <is>
          <t>In Progress</t>
        </is>
      </c>
      <c r="B23" s="5">
        <f>COUNTIF('Work Items'!G2:G500,"In Progress")</f>
        <v/>
      </c>
    </row>
    <row r="24">
      <c r="A24" s="5" t="inlineStr">
        <is>
          <t>Blocked</t>
        </is>
      </c>
      <c r="B24" s="5">
        <f>COUNTIF('Work Items'!G2:G500,"Blocked")</f>
        <v/>
      </c>
    </row>
    <row r="25">
      <c r="A25" s="5" t="inlineStr">
        <is>
          <t>Done</t>
        </is>
      </c>
      <c r="B25" s="5">
        <f>COUNTIF('Work Items'!G2:G500,"Done")</f>
        <v/>
      </c>
    </row>
    <row r="28">
      <c r="A28" s="8" t="inlineStr">
        <is>
          <t>Next Actions (edit me)</t>
        </is>
      </c>
      <c r="B28" s="14" t="n"/>
      <c r="C28" s="14" t="n"/>
      <c r="D28" s="14" t="n"/>
      <c r="E28" s="14" t="n"/>
      <c r="F28" s="14" t="n"/>
      <c r="G28" s="14" t="n"/>
      <c r="H28" s="15" t="n"/>
    </row>
    <row r="29" ht="18" customHeight="1">
      <c r="A29" s="10" t="inlineStr">
        <is>
          <t>1) Lock down extraction correctness (Phase 1)
2) Build golden set + automated report
3) Implement side panel dashboard (Phase 2)</t>
        </is>
      </c>
      <c r="B29" s="16" t="n"/>
      <c r="C29" s="16" t="n"/>
      <c r="D29" s="16" t="n"/>
      <c r="E29" s="16" t="n"/>
      <c r="F29" s="16" t="n"/>
      <c r="G29" s="16" t="n"/>
      <c r="H29" s="17" t="n"/>
    </row>
    <row r="30" ht="18" customHeight="1">
      <c r="A30" s="18" t="n"/>
      <c r="H30" s="19" t="n"/>
    </row>
    <row r="31" ht="18" customHeight="1">
      <c r="A31" s="18" t="n"/>
      <c r="H31" s="19" t="n"/>
    </row>
    <row r="32" ht="18" customHeight="1">
      <c r="A32" s="18" t="n"/>
      <c r="H32" s="19" t="n"/>
    </row>
    <row r="33" ht="18" customHeight="1">
      <c r="A33" s="20" t="n"/>
      <c r="B33" s="21" t="n"/>
      <c r="C33" s="21" t="n"/>
      <c r="D33" s="21" t="n"/>
      <c r="E33" s="21" t="n"/>
      <c r="F33" s="21" t="n"/>
      <c r="G33" s="21" t="n"/>
      <c r="H33" s="22" t="n"/>
    </row>
  </sheetData>
  <mergeCells count="16">
    <mergeCell ref="G4:H4"/>
    <mergeCell ref="A29:H33"/>
    <mergeCell ref="D5:F5"/>
    <mergeCell ref="A5:C5"/>
    <mergeCell ref="D8:F8"/>
    <mergeCell ref="A2:H2"/>
    <mergeCell ref="D4:F4"/>
    <mergeCell ref="A8:C8"/>
    <mergeCell ref="A10:H10"/>
    <mergeCell ref="G5:H5"/>
    <mergeCell ref="A20:D20"/>
    <mergeCell ref="A28:H28"/>
    <mergeCell ref="A7:C7"/>
    <mergeCell ref="A1:H1"/>
    <mergeCell ref="D7:F7"/>
    <mergeCell ref="A4:C4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38" customWidth="1" min="4" max="4"/>
    <col width="55" customWidth="1" min="5" max="5"/>
    <col width="8" customWidth="1" min="6" max="6"/>
    <col width="12" customWidth="1" min="7" max="7"/>
    <col width="14" customWidth="1" min="8" max="8"/>
    <col width="12" customWidth="1" min="9" max="9"/>
    <col width="12" customWidth="1" min="10" max="10"/>
    <col width="8" customWidth="1" min="11" max="11"/>
    <col width="18" customWidth="1" min="12" max="12"/>
    <col width="28" customWidth="1" min="13" max="13"/>
    <col width="22" customWidth="1" min="14" max="14"/>
    <col width="18" customWidth="1" min="15" max="15"/>
  </cols>
  <sheetData>
    <row r="1">
      <c r="A1" s="9" t="inlineStr">
        <is>
          <t>ID</t>
        </is>
      </c>
      <c r="B1" s="9" t="inlineStr">
        <is>
          <t>Phase</t>
        </is>
      </c>
      <c r="C1" s="9" t="inlineStr">
        <is>
          <t>Area</t>
        </is>
      </c>
      <c r="D1" s="9" t="inlineStr">
        <is>
          <t>Title</t>
        </is>
      </c>
      <c r="E1" s="9" t="inlineStr">
        <is>
          <t>Description</t>
        </is>
      </c>
      <c r="F1" s="9" t="inlineStr">
        <is>
          <t>Priority</t>
        </is>
      </c>
      <c r="G1" s="9" t="inlineStr">
        <is>
          <t>Status</t>
        </is>
      </c>
      <c r="H1" s="9" t="inlineStr">
        <is>
          <t>Owner</t>
        </is>
      </c>
      <c r="I1" s="9" t="inlineStr">
        <is>
          <t>Created</t>
        </is>
      </c>
      <c r="J1" s="9" t="inlineStr">
        <is>
          <t>Target Date</t>
        </is>
      </c>
      <c r="K1" s="9" t="inlineStr">
        <is>
          <t>Effort</t>
        </is>
      </c>
      <c r="L1" s="9" t="inlineStr">
        <is>
          <t>Dependencies</t>
        </is>
      </c>
      <c r="M1" s="9" t="inlineStr">
        <is>
          <t>Acceptance Criteria</t>
        </is>
      </c>
      <c r="N1" s="9" t="inlineStr">
        <is>
          <t>Notes</t>
        </is>
      </c>
      <c r="O1" s="9" t="inlineStr">
        <is>
          <t>Links</t>
        </is>
      </c>
    </row>
    <row r="2">
      <c r="A2" s="10" t="inlineStr">
        <is>
          <t>WI-001</t>
        </is>
      </c>
      <c r="B2" s="10" t="inlineStr">
        <is>
          <t>Phase 1</t>
        </is>
      </c>
      <c r="C2" s="10" t="inlineStr">
        <is>
          <t>Extraction QA</t>
        </is>
      </c>
      <c r="D2" s="10" t="inlineStr">
        <is>
          <t>Verify JD text passed to tailoring prompt</t>
        </is>
      </c>
      <c r="E2" s="10" t="inlineStr">
        <is>
          <t>Instrument pipeline to persist exact extracted job text and exact prompt payload; confirm extracted text matches visible JD.</t>
        </is>
      </c>
      <c r="F2" s="10" t="inlineStr">
        <is>
          <t>P0</t>
        </is>
      </c>
      <c r="G2" s="10" t="inlineStr">
        <is>
          <t>In Progress</t>
        </is>
      </c>
      <c r="H2" s="10" t="inlineStr"/>
      <c r="I2" s="10" t="inlineStr">
        <is>
          <t>2025-12-14</t>
        </is>
      </c>
      <c r="J2" s="10" t="inlineStr"/>
      <c r="K2" s="10" t="inlineStr">
        <is>
          <t>M</t>
        </is>
      </c>
      <c r="L2" s="10" t="inlineStr"/>
      <c r="M2" s="10" t="inlineStr">
        <is>
          <t>Run artifacts include job_extracted.txt + prompt_payload.json; manual spot-check passes on 10 sites; hashes logged.</t>
        </is>
      </c>
      <c r="N2" s="10" t="inlineStr"/>
      <c r="O2" s="10" t="inlineStr"/>
    </row>
    <row r="3">
      <c r="A3" s="10" t="inlineStr">
        <is>
          <t>WI-002</t>
        </is>
      </c>
      <c r="B3" s="10" t="inlineStr">
        <is>
          <t>Phase 1</t>
        </is>
      </c>
      <c r="C3" s="10" t="inlineStr">
        <is>
          <t>Extraction QA</t>
        </is>
      </c>
      <c r="D3" s="10" t="inlineStr">
        <is>
          <t>Create Golden Set + automated diff runner</t>
        </is>
      </c>
      <c r="E3" s="10" t="inlineStr">
        <is>
          <t>Build dataset of URLs + expected snippets/fields; automation computes similarity and flags failures.</t>
        </is>
      </c>
      <c r="F3" s="10" t="inlineStr">
        <is>
          <t>P0</t>
        </is>
      </c>
      <c r="G3" s="10" t="inlineStr">
        <is>
          <t>Not Started</t>
        </is>
      </c>
      <c r="H3" s="10" t="inlineStr"/>
      <c r="I3" s="10" t="inlineStr">
        <is>
          <t>2025-12-14</t>
        </is>
      </c>
      <c r="J3" s="10" t="inlineStr"/>
      <c r="K3" s="10" t="inlineStr">
        <is>
          <t>L</t>
        </is>
      </c>
      <c r="L3" s="10" t="inlineStr">
        <is>
          <t>WI-001</t>
        </is>
      </c>
      <c r="M3" s="10" t="inlineStr">
        <is>
          <t>Golden report produced; pass rate tracked; failures actionable with site notes.</t>
        </is>
      </c>
      <c r="N3" s="10" t="inlineStr"/>
      <c r="O3" s="10" t="inlineStr"/>
    </row>
    <row r="4">
      <c r="A4" s="10" t="inlineStr">
        <is>
          <t>WI-003</t>
        </is>
      </c>
      <c r="B4" s="10" t="inlineStr">
        <is>
          <t>Phase 2</t>
        </is>
      </c>
      <c r="C4" s="10" t="inlineStr">
        <is>
          <t>UI / UX</t>
        </is>
      </c>
      <c r="D4" s="10" t="inlineStr">
        <is>
          <t>Persistent dashboard via Chrome Side Panel</t>
        </is>
      </c>
      <c r="E4" s="10" t="inlineStr">
        <is>
          <t>Replace popup-only workflow with a Side Panel dashboard that stays open across tabs; show current tab capture and run timeline.</t>
        </is>
      </c>
      <c r="F4" s="10" t="inlineStr">
        <is>
          <t>P0</t>
        </is>
      </c>
      <c r="G4" s="10" t="inlineStr">
        <is>
          <t>Not Started</t>
        </is>
      </c>
      <c r="H4" s="10" t="inlineStr"/>
      <c r="I4" s="10" t="inlineStr">
        <is>
          <t>2025-12-14</t>
        </is>
      </c>
      <c r="J4" s="10" t="inlineStr"/>
      <c r="K4" s="10" t="inlineStr">
        <is>
          <t>L</t>
        </is>
      </c>
      <c r="L4" s="10" t="inlineStr">
        <is>
          <t>WI-001</t>
        </is>
      </c>
      <c r="M4" s="10" t="inlineStr">
        <is>
          <t>Side panel stays open when switching tabs; can Extract/Analyze from any active tab.</t>
        </is>
      </c>
      <c r="N4" s="10" t="inlineStr"/>
      <c r="O4" s="10" t="inlineStr"/>
    </row>
    <row r="5">
      <c r="A5" s="10" t="inlineStr">
        <is>
          <t>WI-004</t>
        </is>
      </c>
      <c r="B5" s="10" t="inlineStr">
        <is>
          <t>Phase 3</t>
        </is>
      </c>
      <c r="C5" s="10" t="inlineStr">
        <is>
          <t>Explainability</t>
        </is>
      </c>
      <c r="D5" s="10" t="inlineStr">
        <is>
          <t>Show extracted JD + key points + change map</t>
        </is>
      </c>
      <c r="E5" s="10" t="inlineStr">
        <is>
          <t>Expose 'what we extracted', 'what we detected', and 'what we changed' using structured tailoring JSON.</t>
        </is>
      </c>
      <c r="F5" s="10" t="inlineStr">
        <is>
          <t>P1</t>
        </is>
      </c>
      <c r="G5" s="10" t="inlineStr">
        <is>
          <t>Not Started</t>
        </is>
      </c>
      <c r="H5" s="10" t="inlineStr"/>
      <c r="I5" s="10" t="inlineStr">
        <is>
          <t>2025-12-14</t>
        </is>
      </c>
      <c r="J5" s="10" t="inlineStr"/>
      <c r="K5" s="10" t="inlineStr">
        <is>
          <t>L</t>
        </is>
      </c>
      <c r="L5" s="10" t="inlineStr">
        <is>
          <t>WI-003</t>
        </is>
      </c>
      <c r="M5" s="10" t="inlineStr">
        <is>
          <t>UI shows must-haves/nice-to-haves; bullet-to-requirement mapping; clear diffs.</t>
        </is>
      </c>
      <c r="N5" s="10" t="inlineStr"/>
      <c r="O5" s="10" t="inlineStr"/>
    </row>
    <row r="6">
      <c r="A6" s="10" t="inlineStr">
        <is>
          <t>WI-005</t>
        </is>
      </c>
      <c r="B6" s="10" t="inlineStr">
        <is>
          <t>Phase 1</t>
        </is>
      </c>
      <c r="C6" s="10" t="inlineStr">
        <is>
          <t>Backend</t>
        </is>
      </c>
      <c r="D6" s="10" t="inlineStr">
        <is>
          <t>Add prompt payload &amp; extraction artifacts to runs/</t>
        </is>
      </c>
      <c r="E6" s="10" t="inlineStr">
        <is>
          <t>Persist job_raw.html (optional), job_extracted.txt/json, prompt_used_*.txt, prompt_payload.json for each run.</t>
        </is>
      </c>
      <c r="F6" s="10" t="inlineStr">
        <is>
          <t>P0</t>
        </is>
      </c>
      <c r="G6" s="10" t="inlineStr">
        <is>
          <t>Not Started</t>
        </is>
      </c>
      <c r="H6" s="10" t="inlineStr"/>
      <c r="I6" s="10" t="inlineStr">
        <is>
          <t>2025-12-14</t>
        </is>
      </c>
      <c r="J6" s="10" t="inlineStr"/>
      <c r="K6" s="10" t="inlineStr">
        <is>
          <t>M</t>
        </is>
      </c>
      <c r="L6" s="10" t="inlineStr"/>
      <c r="M6" s="10" t="inlineStr">
        <is>
          <t>Files available via /download map; popup enables download; status includes artifact counts.</t>
        </is>
      </c>
      <c r="N6" s="10" t="inlineStr"/>
      <c r="O6" s="10" t="inlineStr"/>
    </row>
    <row r="7">
      <c r="A7" t="inlineStr">
        <is>
          <t>WI-006</t>
        </is>
      </c>
      <c r="B7" t="inlineStr">
        <is>
          <t>Phase 1</t>
        </is>
      </c>
      <c r="C7" t="inlineStr">
        <is>
          <t>Prompt Orchestration</t>
        </is>
      </c>
      <c r="D7" t="inlineStr">
        <is>
          <t>LLM pre-processor for prompt input</t>
        </is>
      </c>
      <c r="E7" t="inlineStr">
        <is>
          <t>Use LLM API to convert extension output into a structured, high-signal payload before calling OpenAI.</t>
        </is>
      </c>
      <c r="F7" t="inlineStr">
        <is>
          <t>P1</t>
        </is>
      </c>
      <c r="G7" t="inlineStr">
        <is>
          <t>Not Started</t>
        </is>
      </c>
      <c r="I7" t="inlineStr">
        <is>
          <t>2025-12-13</t>
        </is>
      </c>
    </row>
    <row r="8">
      <c r="A8" t="inlineStr">
        <is>
          <t>WI-007</t>
        </is>
      </c>
      <c r="B8" t="inlineStr">
        <is>
          <t>Phase 2</t>
        </is>
      </c>
      <c r="C8" t="inlineStr">
        <is>
          <t>UI / UX</t>
        </is>
      </c>
      <c r="D8" t="inlineStr">
        <is>
          <t>Queued job analysis + chatbot for run edits</t>
        </is>
      </c>
      <c r="E8" t="inlineStr">
        <is>
          <t>Allow users to queue job links, view run history, and chat to inspect/refine outputs (e.g., fix 1+ page LaTeX resumes by editing past runs).</t>
        </is>
      </c>
      <c r="F8" t="inlineStr">
        <is>
          <t>P0</t>
        </is>
      </c>
      <c r="G8" t="inlineStr">
        <is>
          <t>Not Started</t>
        </is>
      </c>
      <c r="H8" t="inlineStr"/>
      <c r="I8" t="inlineStr">
        <is>
          <t>2025-12-14</t>
        </is>
      </c>
      <c r="J8" t="inlineStr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</sheetData>
  <conditionalFormatting sqref="G2:G500">
    <cfRule type="expression" priority="1" dxfId="0">
      <formula>$G2="Done"</formula>
    </cfRule>
    <cfRule type="expression" priority="2" dxfId="1">
      <formula>$G2="Blocked"</formula>
    </cfRule>
    <cfRule type="expression" priority="3" dxfId="2">
      <formula>$G2="In Progress"</formula>
    </cfRule>
  </conditionalFormatting>
  <conditionalFormatting sqref="F2:F500">
    <cfRule type="expression" priority="4" dxfId="3">
      <formula>$F2="P0"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42" customWidth="1" min="2" max="2"/>
    <col width="12" customWidth="1" min="3" max="3"/>
    <col width="32" customWidth="1" min="4" max="4"/>
    <col width="32" customWidth="1" min="5" max="5"/>
    <col width="32" customWidth="1" min="6" max="6"/>
    <col width="14" customWidth="1" min="7" max="7"/>
    <col width="8" customWidth="1" min="8" max="8"/>
    <col width="12" customWidth="1" min="9" max="9"/>
    <col width="12" customWidth="1" min="10" max="10"/>
    <col width="22" customWidth="1" min="11" max="11"/>
  </cols>
  <sheetData>
    <row r="1">
      <c r="A1" s="9" t="inlineStr">
        <is>
          <t>Test ID</t>
        </is>
      </c>
      <c r="B1" s="9" t="inlineStr">
        <is>
          <t>URL</t>
        </is>
      </c>
      <c r="C1" s="9" t="inlineStr">
        <is>
          <t>Platform</t>
        </is>
      </c>
      <c r="D1" s="9" t="inlineStr">
        <is>
          <t>Expected (snippet/notes)</t>
        </is>
      </c>
      <c r="E1" s="9" t="inlineStr">
        <is>
          <t>Expected Fields (title/company/location)</t>
        </is>
      </c>
      <c r="F1" s="9" t="inlineStr">
        <is>
          <t>Actual Extract (paste or link)</t>
        </is>
      </c>
      <c r="G1" s="9" t="inlineStr">
        <is>
          <t>Similarity Score</t>
        </is>
      </c>
      <c r="H1" s="9" t="inlineStr">
        <is>
          <t>Pass?</t>
        </is>
      </c>
      <c r="I1" s="9" t="inlineStr">
        <is>
          <t>Last Test</t>
        </is>
      </c>
      <c r="J1" s="9" t="inlineStr">
        <is>
          <t>Extractor Mode</t>
        </is>
      </c>
      <c r="K1" s="9" t="inlineStr">
        <is>
          <t>Notes</t>
        </is>
      </c>
    </row>
    <row r="2">
      <c r="A2" s="10" t="inlineStr">
        <is>
          <t>GS-001</t>
        </is>
      </c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>
        <is>
          <t>Auto/Manual</t>
        </is>
      </c>
      <c r="K2" s="10" t="inlineStr"/>
    </row>
    <row r="3">
      <c r="A3" s="10" t="inlineStr">
        <is>
          <t>GS-002</t>
        </is>
      </c>
      <c r="B3" s="10" t="inlineStr"/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>
        <is>
          <t>Auto/Manual</t>
        </is>
      </c>
      <c r="K3" s="10" t="inlineStr"/>
    </row>
    <row r="4">
      <c r="A4" s="10" t="inlineStr">
        <is>
          <t>GS-003</t>
        </is>
      </c>
      <c r="B4" s="10" t="inlineStr"/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>
        <is>
          <t>Auto/Manual</t>
        </is>
      </c>
      <c r="K4" s="10" t="inlineStr"/>
    </row>
    <row r="5">
      <c r="A5" s="10" t="inlineStr">
        <is>
          <t>GS-004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>
        <is>
          <t>Auto/Manual</t>
        </is>
      </c>
      <c r="K5" s="10" t="inlineStr"/>
    </row>
    <row r="6">
      <c r="A6" s="10" t="inlineStr">
        <is>
          <t>GS-005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>
        <is>
          <t>Auto/Manual</t>
        </is>
      </c>
      <c r="K6" s="10" t="inlineStr"/>
    </row>
    <row r="7">
      <c r="A7" s="10" t="inlineStr">
        <is>
          <t>GS-006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>
        <is>
          <t>Auto/Manual</t>
        </is>
      </c>
      <c r="K7" s="10" t="inlineStr"/>
    </row>
    <row r="8">
      <c r="A8" s="10" t="inlineStr">
        <is>
          <t>GS-007</t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>
        <is>
          <t>Auto/Manual</t>
        </is>
      </c>
      <c r="K8" s="10" t="inlineStr"/>
    </row>
    <row r="9">
      <c r="A9" s="10" t="inlineStr">
        <is>
          <t>GS-008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>
        <is>
          <t>Auto/Manual</t>
        </is>
      </c>
      <c r="K9" s="10" t="inlineStr"/>
    </row>
    <row r="10">
      <c r="A10" s="10" t="inlineStr">
        <is>
          <t>GS-009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>
        <is>
          <t>Auto/Manual</t>
        </is>
      </c>
      <c r="K10" s="10" t="inlineStr"/>
    </row>
    <row r="11">
      <c r="A11" s="10" t="inlineStr">
        <is>
          <t>GS-010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>
        <is>
          <t>Auto/Manual</t>
        </is>
      </c>
      <c r="K11" s="10" t="inlineStr"/>
    </row>
  </sheetData>
  <conditionalFormatting sqref="G2:G500">
    <cfRule type="cellIs" priority="1" operator="greaterThanOrEqual" dxfId="0">
      <formula>0.9</formula>
    </cfRule>
    <cfRule type="cellIs" priority="2" operator="between" dxfId="2">
      <formula>0.75</formula>
      <formula>0.8999</formula>
    </cfRule>
    <cfRule type="cellIs" priority="3" operator="lessThan" dxfId="1">
      <formula>0.75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0" customWidth="1" min="5" max="5"/>
    <col width="12" customWidth="1" min="6" max="6"/>
    <col width="14" customWidth="1" min="7" max="7"/>
    <col width="16" customWidth="1" min="8" max="8"/>
    <col width="12" customWidth="1" min="9" max="9"/>
    <col width="10" customWidth="1" min="10" max="10"/>
    <col width="28" customWidth="1" min="11" max="11"/>
    <col width="22" customWidth="1" min="12" max="12"/>
  </cols>
  <sheetData>
    <row r="1">
      <c r="A1" s="9" t="inlineStr">
        <is>
          <t>Run ID</t>
        </is>
      </c>
      <c r="B1" s="9" t="inlineStr">
        <is>
          <t>Date</t>
        </is>
      </c>
      <c r="C1" s="9" t="inlineStr">
        <is>
          <t>URL</t>
        </is>
      </c>
      <c r="D1" s="9" t="inlineStr">
        <is>
          <t>Platform</t>
        </is>
      </c>
      <c r="E1" s="9" t="inlineStr">
        <is>
          <t>Confidence</t>
        </is>
      </c>
      <c r="F1" s="9" t="inlineStr">
        <is>
          <t>Extract Chars</t>
        </is>
      </c>
      <c r="G1" s="9" t="inlineStr">
        <is>
          <t>Extraction Pass?</t>
        </is>
      </c>
      <c r="H1" s="9" t="inlineStr">
        <is>
          <t>Tailor JSON Valid?</t>
        </is>
      </c>
      <c r="I1" s="9" t="inlineStr">
        <is>
          <t>LaTeX Compile?</t>
        </is>
      </c>
      <c r="J1" s="9" t="inlineStr">
        <is>
          <t>Total Sec</t>
        </is>
      </c>
      <c r="K1" s="9" t="inlineStr">
        <is>
          <t>Error Summary</t>
        </is>
      </c>
      <c r="L1" s="9" t="inlineStr">
        <is>
          <t>Artifacts Path</t>
        </is>
      </c>
    </row>
    <row r="2">
      <c r="A2" s="10" t="inlineStr">
        <is>
          <t>RUN-0001</t>
        </is>
      </c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</row>
    <row r="3">
      <c r="A3" s="10" t="inlineStr">
        <is>
          <t>RUN-0002</t>
        </is>
      </c>
      <c r="B3" s="10" t="inlineStr"/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0" t="inlineStr"/>
    </row>
    <row r="4">
      <c r="A4" s="10" t="inlineStr">
        <is>
          <t>RUN-0003</t>
        </is>
      </c>
      <c r="B4" s="10" t="inlineStr"/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</row>
    <row r="5">
      <c r="A5" s="10" t="inlineStr">
        <is>
          <t>RUN-0004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</row>
    <row r="6">
      <c r="A6" s="10" t="inlineStr">
        <is>
          <t>RUN-0005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</row>
    <row r="7">
      <c r="A7" s="10" t="inlineStr">
        <is>
          <t>RUN-0006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</row>
    <row r="8">
      <c r="A8" s="10" t="inlineStr">
        <is>
          <t>RUN-0007</t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</row>
    <row r="9">
      <c r="A9" s="10" t="inlineStr">
        <is>
          <t>RUN-0008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</row>
    <row r="10">
      <c r="A10" s="10" t="inlineStr">
        <is>
          <t>RUN-0009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</row>
    <row r="11">
      <c r="A11" s="10" t="inlineStr">
        <is>
          <t>RUN-0010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</row>
    <row r="12">
      <c r="A12" s="10" t="inlineStr">
        <is>
          <t>RUN-0011</t>
        </is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</row>
    <row r="13">
      <c r="A13" s="10" t="inlineStr">
        <is>
          <t>RUN-0012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</row>
    <row r="14">
      <c r="A14" s="10" t="inlineStr">
        <is>
          <t>RUN-0013</t>
        </is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</row>
    <row r="15">
      <c r="A15" s="10" t="inlineStr">
        <is>
          <t>RUN-0014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</row>
    <row r="16">
      <c r="A16" s="10" t="inlineStr">
        <is>
          <t>RUN-0015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</row>
    <row r="17">
      <c r="A17" s="10" t="inlineStr">
        <is>
          <t>RUN-0016</t>
        </is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</row>
    <row r="18">
      <c r="A18" s="10" t="inlineStr">
        <is>
          <t>RUN-0017</t>
        </is>
      </c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</row>
    <row r="19">
      <c r="A19" s="10" t="inlineStr">
        <is>
          <t>RUN-0018</t>
        </is>
      </c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</row>
    <row r="20">
      <c r="A20" s="10" t="inlineStr">
        <is>
          <t>RUN-0019</t>
        </is>
      </c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</row>
    <row r="21">
      <c r="A21" s="10" t="inlineStr">
        <is>
          <t>RUN-0020</t>
        </is>
      </c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</row>
  </sheetData>
  <conditionalFormatting sqref="G2:I200">
    <cfRule type="expression" priority="1" dxfId="0">
      <formula>G2="YES"</formula>
    </cfRule>
    <cfRule type="expression" priority="2" dxfId="1">
      <formula>G2="NO"</formula>
    </cfRule>
  </conditionalFormatting>
  <conditionalFormatting sqref="G2:G200">
    <cfRule type="expression" priority="3" dxfId="0">
      <formula>$G2="YES"</formula>
    </cfRule>
    <cfRule type="expression" priority="4" dxfId="1">
      <formula>$G2="NO"</formula>
    </cfRule>
  </conditionalFormatting>
  <conditionalFormatting sqref="H2:H200">
    <cfRule type="expression" priority="5" dxfId="0">
      <formula>$H2="YES"</formula>
    </cfRule>
    <cfRule type="expression" priority="6" dxfId="1">
      <formula>$H2="NO"</formula>
    </cfRule>
  </conditionalFormatting>
  <conditionalFormatting sqref="I2:I200">
    <cfRule type="expression" priority="7" dxfId="0">
      <formula>$I2="YES"</formula>
    </cfRule>
    <cfRule type="expression" priority="8" dxfId="1">
      <formula>$I2="NO"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8" customWidth="1" min="3" max="3"/>
    <col width="38" customWidth="1" min="4" max="4"/>
    <col width="12" customWidth="1" min="5" max="5"/>
    <col width="12" customWidth="1" min="6" max="6"/>
    <col width="12" customWidth="1" min="7" max="7"/>
    <col width="14" customWidth="1" min="8" max="8"/>
    <col width="22" customWidth="1" min="9" max="9"/>
  </cols>
  <sheetData>
    <row r="1">
      <c r="A1" s="9" t="inlineStr">
        <is>
          <t>Phase</t>
        </is>
      </c>
      <c r="B1" s="9" t="inlineStr">
        <is>
          <t>Objective</t>
        </is>
      </c>
      <c r="C1" s="9" t="inlineStr">
        <is>
          <t>Key Deliverables</t>
        </is>
      </c>
      <c r="D1" s="9" t="inlineStr">
        <is>
          <t>Definition of Done</t>
        </is>
      </c>
      <c r="E1" s="9" t="inlineStr">
        <is>
          <t>Status</t>
        </is>
      </c>
      <c r="F1" s="9" t="inlineStr">
        <is>
          <t>Start</t>
        </is>
      </c>
      <c r="G1" s="9" t="inlineStr">
        <is>
          <t>Target</t>
        </is>
      </c>
      <c r="H1" s="9" t="inlineStr">
        <is>
          <t>Owner</t>
        </is>
      </c>
      <c r="I1" s="9" t="inlineStr">
        <is>
          <t>Notes</t>
        </is>
      </c>
    </row>
    <row r="2">
      <c r="A2" s="10" t="inlineStr">
        <is>
          <t>Phase 1</t>
        </is>
      </c>
      <c r="B2" s="10" t="inlineStr">
        <is>
          <t>Extraction correctness + QA baseline</t>
        </is>
      </c>
      <c r="C2" s="10" t="inlineStr">
        <is>
          <t>Instrumentation artifacts; Golden set + report; Extraction pass metric</t>
        </is>
      </c>
      <c r="D2" s="10" t="inlineStr">
        <is>
          <t>≥90% pass on golden set; extracted text hash stored; prompt payload saved; regressions detectable</t>
        </is>
      </c>
      <c r="E2" s="10" t="inlineStr">
        <is>
          <t>In Progress</t>
        </is>
      </c>
      <c r="F2" s="10" t="inlineStr"/>
      <c r="G2" s="10" t="inlineStr"/>
      <c r="H2" s="10" t="inlineStr"/>
      <c r="I2" s="10" t="inlineStr"/>
    </row>
    <row r="3">
      <c r="A3" s="10" t="inlineStr">
        <is>
          <t>Phase 2</t>
        </is>
      </c>
      <c r="B3" s="10" t="inlineStr">
        <is>
          <t>Persistent dashboard UX (side panel)</t>
        </is>
      </c>
      <c r="C3" s="10" t="inlineStr">
        <is>
          <t>Side panel UI; cross-tab capture list; run timeline; downloads/history</t>
        </is>
      </c>
      <c r="D3" s="10" t="inlineStr">
        <is>
          <t>Side panel stays open across tab switches; can Extract/Analyze from any tab; no state loss</t>
        </is>
      </c>
      <c r="E3" s="10" t="inlineStr">
        <is>
          <t>Not Started</t>
        </is>
      </c>
      <c r="F3" s="10" t="inlineStr"/>
      <c r="G3" s="10" t="inlineStr"/>
      <c r="H3" s="10" t="inlineStr"/>
      <c r="I3" s="10" t="inlineStr"/>
    </row>
    <row r="4">
      <c r="A4" s="10" t="inlineStr">
        <is>
          <t>Phase 3</t>
        </is>
      </c>
      <c r="B4" s="10" t="inlineStr">
        <is>
          <t>Explainability &amp; trust</t>
        </is>
      </c>
      <c r="C4" s="10" t="inlineStr">
        <is>
          <t>Key points, must/nice, change map, before/after diffs; requirement→bullet mapping</t>
        </is>
      </c>
      <c r="D4" s="10" t="inlineStr">
        <is>
          <t>Users can see what changed and why for each section; no hallucinated requirements</t>
        </is>
      </c>
      <c r="E4" s="10" t="inlineStr">
        <is>
          <t>Not Started</t>
        </is>
      </c>
      <c r="F4" s="10" t="inlineStr"/>
      <c r="G4" s="10" t="inlineStr"/>
      <c r="H4" s="10" t="inlineStr"/>
      <c r="I4" s="10" t="inlineStr"/>
    </row>
    <row r="5">
      <c r="A5" s="10" t="inlineStr">
        <is>
          <t>Phase 4</t>
        </is>
      </c>
      <c r="B5" s="10" t="inlineStr">
        <is>
          <t>Product polish &amp; freemium readiness</t>
        </is>
      </c>
      <c r="C5" s="10" t="inlineStr">
        <is>
          <t>Limits/gating; onboarding; settings; metrics; upsell surfaces</t>
        </is>
      </c>
      <c r="D5" s="10" t="inlineStr">
        <is>
          <t>Clear free tier limits; stable analytics; subscription flow ready (even if mocked)</t>
        </is>
      </c>
      <c r="E5" s="10" t="inlineStr">
        <is>
          <t>Not Started</t>
        </is>
      </c>
      <c r="F5" s="10" t="inlineStr"/>
      <c r="G5" s="10" t="inlineStr"/>
      <c r="H5" s="10" t="inlineStr"/>
      <c r="I5" s="10" t="inlineStr"/>
    </row>
  </sheetData>
  <conditionalFormatting sqref="E2:E50">
    <cfRule type="expression" priority="1" dxfId="0">
      <formula>$E2="Done"</formula>
    </cfRule>
    <cfRule type="expression" priority="2" dxfId="1">
      <formula>$E2="Blocked"</formula>
    </cfRule>
    <cfRule type="expression" priority="3" dxfId="2">
      <formula>$E2="In Progress"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16" customWidth="1" min="3" max="3"/>
    <col width="24" customWidth="1" min="4" max="4"/>
  </cols>
  <sheetData>
    <row r="1">
      <c r="A1" s="11" t="inlineStr">
        <is>
          <t>Product &amp; Reliability Metrics</t>
        </is>
      </c>
    </row>
    <row r="2">
      <c r="A2" s="9" t="inlineStr">
        <is>
          <t>Metric</t>
        </is>
      </c>
      <c r="B2" s="9" t="inlineStr">
        <is>
          <t>Definition</t>
        </is>
      </c>
      <c r="C2" s="9" t="inlineStr">
        <is>
          <t>Value</t>
        </is>
      </c>
      <c r="D2" s="9" t="inlineStr">
        <is>
          <t>Notes</t>
        </is>
      </c>
    </row>
    <row r="3">
      <c r="A3" s="10" t="inlineStr">
        <is>
          <t>Extraction pass rate (Runs)</t>
        </is>
      </c>
      <c r="B3" s="10" t="inlineStr">
        <is>
          <t>% of runs where Extraction Pass?=YES</t>
        </is>
      </c>
      <c r="C3" s="12">
        <f>IFERROR(COUNTIF(Runs!G2:G200,"YES")/MAX(1,COUNTA(Runs!G2:G200)),0)</f>
        <v/>
      </c>
      <c r="D3" s="10" t="inlineStr"/>
    </row>
    <row r="4">
      <c r="A4" s="10" t="inlineStr">
        <is>
          <t>Tailor JSON validity rate</t>
        </is>
      </c>
      <c r="B4" s="10" t="inlineStr">
        <is>
          <t>% of runs where Tailor JSON Valid?=YES</t>
        </is>
      </c>
      <c r="C4" s="12">
        <f>IFERROR(COUNTIF(Runs!H2:H200,"YES")/MAX(1,COUNTA(Runs!H2:H200)),0)</f>
        <v/>
      </c>
      <c r="D4" s="10" t="inlineStr"/>
    </row>
    <row r="5">
      <c r="A5" s="10" t="inlineStr">
        <is>
          <t>LaTeX compile success rate</t>
        </is>
      </c>
      <c r="B5" s="10" t="inlineStr">
        <is>
          <t>% of runs where LaTeX Compile?=YES</t>
        </is>
      </c>
      <c r="C5" s="12">
        <f>IFERROR(COUNTIF(Runs!I2:I200,"YES")/MAX(1,COUNTA(Runs!I2:I200)),0)</f>
        <v/>
      </c>
      <c r="D5" s="10" t="inlineStr"/>
    </row>
    <row r="6">
      <c r="A6" s="10" t="inlineStr">
        <is>
          <t>Avg total seconds</t>
        </is>
      </c>
      <c r="B6" s="10" t="inlineStr">
        <is>
          <t>Average of Total Sec</t>
        </is>
      </c>
      <c r="C6" s="13">
        <f>IFERROR(AVERAGEIF(Runs!J2:J200,"&gt;0"),0)</f>
        <v/>
      </c>
      <c r="D6" s="10" t="inlineStr"/>
    </row>
    <row r="7">
      <c r="A7" s="10" t="inlineStr">
        <is>
          <t>Golden set pass rate</t>
        </is>
      </c>
      <c r="B7" s="10" t="inlineStr">
        <is>
          <t>% of Golden Set rows marked PASS</t>
        </is>
      </c>
      <c r="C7" s="12">
        <f>IFERROR(COUNTIF('Golden Set'!H2:H500,"PASS")/MAX(1,COUNTA('Golden Set'!H2:H500)),0)</f>
        <v/>
      </c>
      <c r="D7" s="10" t="inlineStr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2025-12-14T01:25:48Z</dcterms:created>
  <dcterms:modified xmlns:dcterms="http://purl.org/dc/terms/" xmlns:xsi="http://www.w3.org/2001/XMLSchema-instance" xsi:type="dcterms:W3CDTF">2025-12-14T06:23:55Z</dcterms:modified>
</cp:coreProperties>
</file>